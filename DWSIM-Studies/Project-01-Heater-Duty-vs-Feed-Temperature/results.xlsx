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67A4024-F5F6-40B4-B807-8627FA10CB06}" xr6:coauthVersionLast="47" xr6:coauthVersionMax="47" xr10:uidLastSave="{00000000-0000-0000-0000-000000000000}"/>
  <bookViews>
    <workbookView xWindow="-108" yWindow="-108" windowWidth="23256" windowHeight="12576" activeTab="2" xr2:uid="{88E8AD04-299B-4533-80AB-DCE66B6A996A}"/>
  </bookViews>
  <sheets>
    <sheet name="feed_temperature_study" sheetId="1" r:id="rId1"/>
    <sheet name="hot_stream_temperature_study" sheetId="2" r:id="rId2"/>
    <sheet name="oth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3" l="1"/>
  <c r="C8" i="3"/>
  <c r="C7" i="3"/>
  <c r="C6" i="3"/>
  <c r="I5" i="3"/>
  <c r="C5" i="3"/>
  <c r="I4" i="3"/>
  <c r="C4" i="3"/>
  <c r="I3" i="3"/>
  <c r="C3" i="3"/>
  <c r="I2" i="3"/>
  <c r="C2" i="3"/>
  <c r="B10" i="2"/>
  <c r="B9" i="2"/>
  <c r="B8" i="2"/>
  <c r="B7" i="2"/>
  <c r="B6" i="2"/>
  <c r="B5" i="2"/>
  <c r="B4" i="2"/>
  <c r="B3" i="2"/>
  <c r="B2" i="2"/>
  <c r="E3" i="1"/>
  <c r="E4" i="1"/>
  <c r="E5" i="1"/>
  <c r="E2" i="1"/>
</calcChain>
</file>

<file path=xl/sharedStrings.xml><?xml version="1.0" encoding="utf-8"?>
<sst xmlns="http://schemas.openxmlformats.org/spreadsheetml/2006/main" count="21" uniqueCount="15">
  <si>
    <t>heater duty[kW]</t>
  </si>
  <si>
    <t>Feed temp[C]</t>
  </si>
  <si>
    <t>delta T</t>
  </si>
  <si>
    <t>25-35</t>
  </si>
  <si>
    <t>35-45</t>
  </si>
  <si>
    <t>45-55</t>
  </si>
  <si>
    <t>55-65</t>
  </si>
  <si>
    <t>เปรียบเทียบช่วง</t>
  </si>
  <si>
    <t>delta duty</t>
  </si>
  <si>
    <t>HEX cocurrent</t>
  </si>
  <si>
    <t>heater feed temp[C]</t>
  </si>
  <si>
    <t>[K]</t>
  </si>
  <si>
    <t>HEX cocurrent area</t>
  </si>
  <si>
    <t>heater feed temp[K]</t>
  </si>
  <si>
    <t>Hot Stream Temperature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</si>
</sst>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ED52-6201-43C7-9118-1F339AD330CB}">
  <dimension ref="A1:E6"/>
  <sheetViews>
    <sheetView zoomScale="86" zoomScaleNormal="145" workbookViewId="0">
      <selection activeCell="G13" sqref="G13"/>
    </sheetView>
  </sheetViews>
  <sheetFormatPr defaultRowHeight="16.8" x14ac:dyDescent="0.4"/>
  <sheetData>
    <row r="1" spans="1:5" x14ac:dyDescent="0.4">
      <c r="A1" t="s">
        <v>1</v>
      </c>
      <c r="B1" t="s">
        <v>0</v>
      </c>
      <c r="C1" t="s">
        <v>2</v>
      </c>
      <c r="D1" t="s">
        <v>7</v>
      </c>
      <c r="E1" t="s">
        <v>8</v>
      </c>
    </row>
    <row r="2" spans="1:5" x14ac:dyDescent="0.4">
      <c r="A2">
        <v>25</v>
      </c>
      <c r="B2">
        <v>68.997600000000006</v>
      </c>
      <c r="D2" t="s">
        <v>3</v>
      </c>
      <c r="E2">
        <f>B2-B3</f>
        <v>12.515000000000008</v>
      </c>
    </row>
    <row r="3" spans="1:5" x14ac:dyDescent="0.4">
      <c r="A3">
        <v>35</v>
      </c>
      <c r="B3">
        <v>56.482599999999998</v>
      </c>
      <c r="D3" t="s">
        <v>4</v>
      </c>
      <c r="E3">
        <f>B3-B4</f>
        <v>12.517499999999998</v>
      </c>
    </row>
    <row r="4" spans="1:5" x14ac:dyDescent="0.4">
      <c r="A4">
        <v>45</v>
      </c>
      <c r="B4">
        <v>43.9651</v>
      </c>
      <c r="D4" t="s">
        <v>5</v>
      </c>
      <c r="E4">
        <f>B4-B5</f>
        <v>12.529199999999999</v>
      </c>
    </row>
    <row r="5" spans="1:5" x14ac:dyDescent="0.4">
      <c r="A5">
        <v>55</v>
      </c>
      <c r="B5">
        <v>31.4359</v>
      </c>
      <c r="D5" t="s">
        <v>6</v>
      </c>
      <c r="E5">
        <f>B5-B6</f>
        <v>12.5503</v>
      </c>
    </row>
    <row r="6" spans="1:5" x14ac:dyDescent="0.4">
      <c r="A6">
        <v>65</v>
      </c>
      <c r="B6">
        <v>18.8856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916D-20FE-4C64-8796-B2186D9D88F1}">
  <dimension ref="A1:D10"/>
  <sheetViews>
    <sheetView topLeftCell="B9" zoomScale="137" workbookViewId="0">
      <selection activeCell="D13" sqref="D13:M22"/>
    </sheetView>
  </sheetViews>
  <sheetFormatPr defaultRowHeight="16.8" x14ac:dyDescent="0.4"/>
  <sheetData>
    <row r="1" spans="1:4" x14ac:dyDescent="0.4">
      <c r="A1" t="s">
        <v>14</v>
      </c>
      <c r="B1" t="s">
        <v>10</v>
      </c>
      <c r="C1" t="s">
        <v>13</v>
      </c>
      <c r="D1" t="s">
        <v>0</v>
      </c>
    </row>
    <row r="2" spans="1:4" x14ac:dyDescent="0.4">
      <c r="A2">
        <v>80</v>
      </c>
      <c r="B2">
        <f>C2-273.15</f>
        <v>49.449924754064</v>
      </c>
      <c r="C2">
        <v>322.59992475406398</v>
      </c>
      <c r="D2">
        <v>38.391682990602597</v>
      </c>
    </row>
    <row r="3" spans="1:4" x14ac:dyDescent="0.4">
      <c r="A3">
        <v>100</v>
      </c>
      <c r="B3">
        <f>C3-273.15</f>
        <v>66.234012499555035</v>
      </c>
      <c r="C3">
        <v>339.38401249955501</v>
      </c>
      <c r="D3">
        <v>17.334979199728501</v>
      </c>
    </row>
    <row r="4" spans="1:4" x14ac:dyDescent="0.4">
      <c r="A4">
        <v>120</v>
      </c>
      <c r="B4">
        <f>C4-273.15</f>
        <v>72.85595362621001</v>
      </c>
      <c r="C4">
        <v>346.00595362620999</v>
      </c>
      <c r="D4">
        <v>9.0052895230159002</v>
      </c>
    </row>
    <row r="5" spans="1:4" x14ac:dyDescent="0.4">
      <c r="A5">
        <v>140</v>
      </c>
      <c r="B5">
        <f>C5-273.15</f>
        <v>79.011394252714013</v>
      </c>
      <c r="C5">
        <v>352.16139425271399</v>
      </c>
      <c r="D5">
        <v>1.2474632679176101</v>
      </c>
    </row>
    <row r="6" spans="1:4" x14ac:dyDescent="0.4">
      <c r="A6">
        <v>141</v>
      </c>
      <c r="B6">
        <f>C6-273.15</f>
        <v>79.30963946166105</v>
      </c>
      <c r="C6">
        <v>352.45963946166103</v>
      </c>
      <c r="D6">
        <v>0.87117130233680096</v>
      </c>
    </row>
    <row r="7" spans="1:4" x14ac:dyDescent="0.4">
      <c r="A7">
        <v>143</v>
      </c>
      <c r="B7">
        <f>C7-273.15</f>
        <v>79.903721143073028</v>
      </c>
      <c r="C7">
        <v>353.05372114307301</v>
      </c>
      <c r="D7">
        <v>0.12150791834955001</v>
      </c>
    </row>
    <row r="8" spans="1:4" x14ac:dyDescent="0.4">
      <c r="A8">
        <v>145</v>
      </c>
      <c r="B8">
        <f>C8-273.15</f>
        <v>80.494674374893009</v>
      </c>
      <c r="C8">
        <v>353.64467437489299</v>
      </c>
      <c r="D8">
        <v>-0.62436605611535401</v>
      </c>
    </row>
    <row r="9" spans="1:4" x14ac:dyDescent="0.4">
      <c r="A9">
        <v>150</v>
      </c>
      <c r="B9">
        <f>C9-273.15</f>
        <v>81.958994757347</v>
      </c>
      <c r="C9">
        <v>355.10899475734698</v>
      </c>
      <c r="D9">
        <v>-2.4732579086155102</v>
      </c>
    </row>
    <row r="10" spans="1:4" x14ac:dyDescent="0.4">
      <c r="A10">
        <v>160</v>
      </c>
      <c r="B10">
        <f>C10-273.15</f>
        <v>84.821400039687035</v>
      </c>
      <c r="C10">
        <v>357.97140003968701</v>
      </c>
      <c r="D10">
        <v>-6.0903714345852498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354D-B27E-430A-829D-6870D9018637}">
  <dimension ref="A1:I9"/>
  <sheetViews>
    <sheetView tabSelected="1" workbookViewId="0">
      <selection activeCell="C12" sqref="C12"/>
    </sheetView>
  </sheetViews>
  <sheetFormatPr defaultRowHeight="16.8" x14ac:dyDescent="0.4"/>
  <sheetData>
    <row r="1" spans="1:9" x14ac:dyDescent="0.4">
      <c r="A1" t="s">
        <v>9</v>
      </c>
      <c r="B1" t="s">
        <v>0</v>
      </c>
      <c r="C1" t="s">
        <v>10</v>
      </c>
      <c r="D1" t="s">
        <v>11</v>
      </c>
      <c r="F1" t="s">
        <v>12</v>
      </c>
      <c r="G1" t="s">
        <v>13</v>
      </c>
      <c r="H1" t="s">
        <v>0</v>
      </c>
      <c r="I1" t="s">
        <v>10</v>
      </c>
    </row>
    <row r="2" spans="1:9" x14ac:dyDescent="0.4">
      <c r="A2">
        <v>25</v>
      </c>
      <c r="B2">
        <v>9.0052900000000005</v>
      </c>
      <c r="C2">
        <f>D2-273.15</f>
        <v>72.855999999999995</v>
      </c>
      <c r="D2">
        <v>346.00599999999997</v>
      </c>
      <c r="F2">
        <v>1</v>
      </c>
      <c r="G2">
        <v>346.00595362620999</v>
      </c>
      <c r="H2">
        <v>9.0052895230159002</v>
      </c>
      <c r="I2">
        <f>G2-273.15</f>
        <v>72.85595362621001</v>
      </c>
    </row>
    <row r="3" spans="1:9" x14ac:dyDescent="0.4">
      <c r="A3">
        <v>35</v>
      </c>
      <c r="B3">
        <v>3.4129499999999999</v>
      </c>
      <c r="C3">
        <f>D3-273.15</f>
        <v>77.29400000000004</v>
      </c>
      <c r="D3">
        <v>350.44400000000002</v>
      </c>
      <c r="F3">
        <v>2</v>
      </c>
      <c r="G3">
        <v>369.24061356662799</v>
      </c>
      <c r="H3">
        <v>-20.373269883430901</v>
      </c>
      <c r="I3">
        <f>G3-273.15</f>
        <v>96.090613566628008</v>
      </c>
    </row>
    <row r="4" spans="1:9" x14ac:dyDescent="0.4">
      <c r="A4">
        <v>40</v>
      </c>
      <c r="B4">
        <v>0.62075999999999998</v>
      </c>
      <c r="C4">
        <f>D4-273.15</f>
        <v>79.508000000000038</v>
      </c>
      <c r="D4">
        <v>352.65800000000002</v>
      </c>
      <c r="F4">
        <v>5</v>
      </c>
      <c r="G4">
        <v>373.13234579626902</v>
      </c>
      <c r="H4">
        <v>-139.32291544164701</v>
      </c>
      <c r="I4">
        <f>G4-273.15</f>
        <v>99.982345796269044</v>
      </c>
    </row>
    <row r="5" spans="1:9" x14ac:dyDescent="0.4">
      <c r="A5">
        <v>41.25</v>
      </c>
      <c r="B5">
        <v>-7.6882099999999995E-2</v>
      </c>
      <c r="C5">
        <f>D5-273.15</f>
        <v>80.061000000000035</v>
      </c>
      <c r="D5">
        <v>353.21100000000001</v>
      </c>
      <c r="F5">
        <v>10</v>
      </c>
      <c r="G5">
        <v>373.13234579626902</v>
      </c>
      <c r="H5">
        <v>-347.63893186544698</v>
      </c>
      <c r="I5">
        <f>G5-273.15</f>
        <v>99.982345796269044</v>
      </c>
    </row>
    <row r="6" spans="1:9" x14ac:dyDescent="0.4">
      <c r="A6">
        <v>42.5</v>
      </c>
      <c r="B6">
        <v>-0.77435900000000002</v>
      </c>
      <c r="C6">
        <f>D6-273.15</f>
        <v>80.613</v>
      </c>
      <c r="D6">
        <v>353.76299999999998</v>
      </c>
    </row>
    <row r="7" spans="1:9" x14ac:dyDescent="0.4">
      <c r="A7">
        <v>45</v>
      </c>
      <c r="B7">
        <v>-2.1689699999999998</v>
      </c>
      <c r="C7">
        <f>D7-273.15</f>
        <v>81.718000000000018</v>
      </c>
      <c r="D7">
        <v>354.86799999999999</v>
      </c>
    </row>
    <row r="8" spans="1:9" x14ac:dyDescent="0.4">
      <c r="A8">
        <v>55</v>
      </c>
      <c r="B8">
        <v>-7.7342399999999998</v>
      </c>
      <c r="C8">
        <f>D8-273.15</f>
        <v>86.121000000000038</v>
      </c>
      <c r="D8">
        <v>359.27100000000002</v>
      </c>
    </row>
    <row r="9" spans="1:9" x14ac:dyDescent="0.4">
      <c r="A9">
        <v>65</v>
      </c>
      <c r="B9">
        <v>-13.280900000000001</v>
      </c>
      <c r="C9">
        <f>D9-273.15</f>
        <v>90.475000000000023</v>
      </c>
      <c r="D9">
        <v>363.625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feed_temperature_study</vt:lpstr>
      <vt:lpstr>hot_stream_temperature_study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chayaphat viriyakrairoek</dc:creator>
  <cp:lastModifiedBy>chayaphat viriyakrairoek</cp:lastModifiedBy>
  <dcterms:created xsi:type="dcterms:W3CDTF">2026-06-10T10:54:43Z</dcterms:created>
  <dcterms:modified xsi:type="dcterms:W3CDTF">2026-06-10T13:20:11Z</dcterms:modified>
</cp:coreProperties>
</file>